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IvXIvwbMyiqVEzbPtGm4gRO8DCU0bSETiW371++cM8I="/>
    </ext>
  </extLst>
</workbook>
</file>

<file path=xl/sharedStrings.xml><?xml version="1.0" encoding="utf-8"?>
<sst xmlns="http://schemas.openxmlformats.org/spreadsheetml/2006/main" count="217" uniqueCount="127">
  <si>
    <t>phoneNumber</t>
  </si>
  <si>
    <t>stallName</t>
  </si>
  <si>
    <t>role</t>
  </si>
  <si>
    <t>chineseName</t>
  </si>
  <si>
    <t>englishName</t>
  </si>
  <si>
    <t>美食天地</t>
  </si>
  <si>
    <t>merchantOwner</t>
  </si>
  <si>
    <t>陳大明</t>
  </si>
  <si>
    <t>Tan Ah Ming</t>
  </si>
  <si>
    <t>merchantAsist</t>
  </si>
  <si>
    <t>李小花</t>
  </si>
  <si>
    <t>Lee Xiao Hua</t>
  </si>
  <si>
    <t>手工藝品</t>
  </si>
  <si>
    <t>王美麗</t>
  </si>
  <si>
    <t>Wong Mei Li</t>
  </si>
  <si>
    <t>張小強</t>
  </si>
  <si>
    <t>Cheong Siew Keong</t>
  </si>
  <si>
    <t>林玉珍</t>
  </si>
  <si>
    <t>Lim Yu Zhen</t>
  </si>
  <si>
    <t>茶香小館</t>
  </si>
  <si>
    <t>周建華</t>
  </si>
  <si>
    <t>Chou Jian Hua</t>
  </si>
  <si>
    <t>吳麗芳</t>
  </si>
  <si>
    <t>Ng Li Fang</t>
  </si>
  <si>
    <t>黃志偉</t>
  </si>
  <si>
    <t>Wong Chi Wei</t>
  </si>
  <si>
    <t>畫布工坊</t>
  </si>
  <si>
    <t>趙文傑</t>
  </si>
  <si>
    <t>Chao Wen Jie</t>
  </si>
  <si>
    <t>蔡佩玲</t>
  </si>
  <si>
    <t>Chua Pei Ling</t>
  </si>
  <si>
    <t>何俊豪</t>
  </si>
  <si>
    <t>Ho Jun Hao</t>
  </si>
  <si>
    <t>鄭雅雯</t>
  </si>
  <si>
    <t>Cheng Ya Wen</t>
  </si>
  <si>
    <t>謝國強</t>
  </si>
  <si>
    <t>Toh Kok Keong</t>
  </si>
  <si>
    <t>香料天地</t>
  </si>
  <si>
    <t>馬麗華</t>
  </si>
  <si>
    <t>Ma Li Hua</t>
  </si>
  <si>
    <t>陳俊賢</t>
  </si>
  <si>
    <t>Tan Jun Xian</t>
  </si>
  <si>
    <t>劉慧君</t>
  </si>
  <si>
    <t>Lau Hui Jun</t>
  </si>
  <si>
    <t>張國榮</t>
  </si>
  <si>
    <t>Chong Kok Rong</t>
  </si>
  <si>
    <t>林美君</t>
  </si>
  <si>
    <t>Lim Mei Jun</t>
  </si>
  <si>
    <t>吳志強</t>
  </si>
  <si>
    <t>Ng Chi Keong</t>
  </si>
  <si>
    <t>書香坊</t>
  </si>
  <si>
    <t>蔡文芳</t>
  </si>
  <si>
    <t>Chua Wen Fang</t>
  </si>
  <si>
    <t>何麗萍</t>
  </si>
  <si>
    <t>Ho Li Ping</t>
  </si>
  <si>
    <t>鄭志豪</t>
  </si>
  <si>
    <t>Cheng Chi Hao</t>
  </si>
  <si>
    <t>謝佩玲</t>
  </si>
  <si>
    <t>Toh Pei Ling</t>
  </si>
  <si>
    <t>馬俊偉</t>
  </si>
  <si>
    <t>Ma Jun Wei</t>
  </si>
  <si>
    <t>陳美麗</t>
  </si>
  <si>
    <t>Tan Mei Li</t>
  </si>
  <si>
    <t>甜品屋</t>
  </si>
  <si>
    <t>劉小芳</t>
  </si>
  <si>
    <t>Lau Siew Fang</t>
  </si>
  <si>
    <t>張志明</t>
  </si>
  <si>
    <t>Chong Chi Ming</t>
  </si>
  <si>
    <t>林玉華</t>
  </si>
  <si>
    <t>Lim Yu Hua</t>
  </si>
  <si>
    <t>吳建國</t>
  </si>
  <si>
    <t>Ng Jian Kok</t>
  </si>
  <si>
    <t>蔡麗君</t>
  </si>
  <si>
    <t>Chua Li Jun</t>
  </si>
  <si>
    <t>何志偉</t>
  </si>
  <si>
    <t>Ho Chi Wei</t>
  </si>
  <si>
    <t>花藝坊</t>
  </si>
  <si>
    <t>鄭美芳</t>
  </si>
  <si>
    <t>Cheng Mei Fang</t>
  </si>
  <si>
    <t>謝俊豪</t>
  </si>
  <si>
    <t>Toh Jun Hao</t>
  </si>
  <si>
    <t>馬佩玲</t>
  </si>
  <si>
    <t>Ma Pei Ling</t>
  </si>
  <si>
    <t>陳志強</t>
  </si>
  <si>
    <t>Tan Chi Keong</t>
  </si>
  <si>
    <t>劉國華</t>
  </si>
  <si>
    <t>Lau Kok Hua</t>
  </si>
  <si>
    <t>張麗萍</t>
  </si>
  <si>
    <t>Chong Li Ping</t>
  </si>
  <si>
    <t>音樂天地</t>
  </si>
  <si>
    <t>林建華</t>
  </si>
  <si>
    <t>Lim Jian Hua</t>
  </si>
  <si>
    <t>吳俊賢</t>
  </si>
  <si>
    <t>Ng Jun Xian</t>
  </si>
  <si>
    <t>蔡美君</t>
  </si>
  <si>
    <t>Chua Mei Jun</t>
  </si>
  <si>
    <t>何國強</t>
  </si>
  <si>
    <t>Ho Kok Keong</t>
  </si>
  <si>
    <t>鄭麗華</t>
  </si>
  <si>
    <t>Cheng Li Hua</t>
  </si>
  <si>
    <t>謝志偉</t>
  </si>
  <si>
    <t>Toh Chi Wei</t>
  </si>
  <si>
    <t>0123456791</t>
  </si>
  <si>
    <t>J1C咖啡厅</t>
  </si>
  <si>
    <t>徐玲</t>
  </si>
  <si>
    <t>0123456793</t>
  </si>
  <si>
    <t>J3G小零食</t>
  </si>
  <si>
    <t>何静</t>
  </si>
  <si>
    <t>0123456790</t>
  </si>
  <si>
    <t>C2D水球大战</t>
  </si>
  <si>
    <t>马勇磊</t>
  </si>
  <si>
    <t>0123456792</t>
  </si>
  <si>
    <t>J2D鬼屋</t>
  </si>
  <si>
    <t>何飞波</t>
  </si>
  <si>
    <t>0123456789</t>
  </si>
  <si>
    <t>S1A文具小铺</t>
  </si>
  <si>
    <t>王娜敏</t>
  </si>
  <si>
    <t>0123456820</t>
  </si>
  <si>
    <t>胡军</t>
  </si>
  <si>
    <t>0123456825</t>
  </si>
  <si>
    <t>赵伟</t>
  </si>
  <si>
    <t>0123456821</t>
  </si>
  <si>
    <t>胡娜</t>
  </si>
  <si>
    <t>0123456822</t>
  </si>
  <si>
    <t>吴雪</t>
  </si>
  <si>
    <t>0123456823</t>
  </si>
  <si>
    <t>李秀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</si>
</sst>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1F2937"/>
      <name val="-apple-system"/>
    </font>
    <font>
      <sz val="11.0"/>
      <color rgb="FF374151"/>
      <name val="Arial"/>
    </font>
    <font>
      <color rgb="FF374151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E5E7E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2" fontId="5" numFmtId="0" xfId="0" applyAlignment="1" applyBorder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f>+60123456780</f>
        <v>60123456780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3">
        <f>+60198765431</f>
        <v>60198765431</v>
      </c>
      <c r="B3" s="4" t="s">
        <v>5</v>
      </c>
      <c r="C3" s="4" t="s">
        <v>9</v>
      </c>
      <c r="D3" s="4" t="s">
        <v>10</v>
      </c>
      <c r="E3" s="4" t="s">
        <v>11</v>
      </c>
    </row>
    <row r="4">
      <c r="A4" s="3">
        <f>+60111234568</f>
        <v>60111234568</v>
      </c>
      <c r="B4" s="4" t="s">
        <v>12</v>
      </c>
      <c r="C4" s="4" t="s">
        <v>6</v>
      </c>
      <c r="D4" s="4" t="s">
        <v>13</v>
      </c>
      <c r="E4" s="4" t="s">
        <v>14</v>
      </c>
    </row>
    <row r="5">
      <c r="A5" s="3">
        <f>+60122334455</f>
        <v>60122334455</v>
      </c>
      <c r="B5" s="4" t="s">
        <v>12</v>
      </c>
      <c r="C5" s="4" t="s">
        <v>9</v>
      </c>
      <c r="D5" s="4" t="s">
        <v>15</v>
      </c>
      <c r="E5" s="4" t="s">
        <v>16</v>
      </c>
    </row>
    <row r="6">
      <c r="A6" s="3">
        <f>+60133445566</f>
        <v>60133445566</v>
      </c>
      <c r="B6" s="4" t="s">
        <v>12</v>
      </c>
      <c r="C6" s="4" t="s">
        <v>9</v>
      </c>
      <c r="D6" s="4" t="s">
        <v>17</v>
      </c>
      <c r="E6" s="4" t="s">
        <v>18</v>
      </c>
    </row>
    <row r="7">
      <c r="A7" s="3">
        <f>+60144556677</f>
        <v>60144556677</v>
      </c>
      <c r="B7" s="4" t="s">
        <v>19</v>
      </c>
      <c r="C7" s="4" t="s">
        <v>6</v>
      </c>
      <c r="D7" s="4" t="s">
        <v>20</v>
      </c>
      <c r="E7" s="4" t="s">
        <v>21</v>
      </c>
    </row>
    <row r="8">
      <c r="A8" s="3">
        <f>+60155667788</f>
        <v>60155667788</v>
      </c>
      <c r="B8" s="4" t="s">
        <v>19</v>
      </c>
      <c r="C8" s="4" t="s">
        <v>9</v>
      </c>
      <c r="D8" s="4" t="s">
        <v>22</v>
      </c>
      <c r="E8" s="4" t="s">
        <v>23</v>
      </c>
    </row>
    <row r="9">
      <c r="A9" s="3">
        <f>+60166778899</f>
        <v>60166778899</v>
      </c>
      <c r="B9" s="4" t="s">
        <v>19</v>
      </c>
      <c r="C9" s="4" t="s">
        <v>9</v>
      </c>
      <c r="D9" s="4" t="s">
        <v>24</v>
      </c>
      <c r="E9" s="4" t="s">
        <v>25</v>
      </c>
    </row>
    <row r="10">
      <c r="A10" s="3">
        <f>+60177889900</f>
        <v>60177889900</v>
      </c>
      <c r="B10" s="4" t="s">
        <v>26</v>
      </c>
      <c r="C10" s="4" t="s">
        <v>6</v>
      </c>
      <c r="D10" s="4" t="s">
        <v>27</v>
      </c>
      <c r="E10" s="4" t="s">
        <v>28</v>
      </c>
    </row>
    <row r="11">
      <c r="A11" s="3">
        <f>+60188990011</f>
        <v>60188990011</v>
      </c>
      <c r="B11" s="4" t="s">
        <v>26</v>
      </c>
      <c r="C11" s="4" t="s">
        <v>9</v>
      </c>
      <c r="D11" s="4" t="s">
        <v>29</v>
      </c>
      <c r="E11" s="4" t="s">
        <v>30</v>
      </c>
    </row>
    <row r="12">
      <c r="A12" s="3">
        <f>+60199001122</f>
        <v>60199001122</v>
      </c>
      <c r="B12" s="4" t="s">
        <v>26</v>
      </c>
      <c r="C12" s="4" t="s">
        <v>9</v>
      </c>
      <c r="D12" s="4" t="s">
        <v>31</v>
      </c>
      <c r="E12" s="4" t="s">
        <v>32</v>
      </c>
    </row>
    <row r="13">
      <c r="A13" s="3">
        <f>+60101112233</f>
        <v>60101112233</v>
      </c>
      <c r="B13" s="4" t="s">
        <v>26</v>
      </c>
      <c r="C13" s="4" t="s">
        <v>9</v>
      </c>
      <c r="D13" s="4" t="s">
        <v>33</v>
      </c>
      <c r="E13" s="4" t="s">
        <v>34</v>
      </c>
    </row>
    <row r="14">
      <c r="A14" s="3">
        <f>+60112223344</f>
        <v>60112223344</v>
      </c>
      <c r="B14" s="4" t="s">
        <v>26</v>
      </c>
      <c r="C14" s="4" t="s">
        <v>9</v>
      </c>
      <c r="D14" s="4" t="s">
        <v>35</v>
      </c>
      <c r="E14" s="4" t="s">
        <v>36</v>
      </c>
    </row>
    <row r="15">
      <c r="A15" s="3">
        <f>+60123334455</f>
        <v>60123334455</v>
      </c>
      <c r="B15" s="4" t="s">
        <v>37</v>
      </c>
      <c r="C15" s="4" t="s">
        <v>6</v>
      </c>
      <c r="D15" s="4" t="s">
        <v>38</v>
      </c>
      <c r="E15" s="4" t="s">
        <v>39</v>
      </c>
    </row>
    <row r="16">
      <c r="A16" s="3">
        <f>+60134445566</f>
        <v>60134445566</v>
      </c>
      <c r="B16" s="4" t="s">
        <v>37</v>
      </c>
      <c r="C16" s="4" t="s">
        <v>9</v>
      </c>
      <c r="D16" s="4" t="s">
        <v>40</v>
      </c>
      <c r="E16" s="4" t="s">
        <v>41</v>
      </c>
    </row>
    <row r="17">
      <c r="A17" s="3">
        <f>+60145556677</f>
        <v>60145556677</v>
      </c>
      <c r="B17" s="4" t="s">
        <v>37</v>
      </c>
      <c r="C17" s="4" t="s">
        <v>9</v>
      </c>
      <c r="D17" s="4" t="s">
        <v>42</v>
      </c>
      <c r="E17" s="4" t="s">
        <v>43</v>
      </c>
    </row>
    <row r="18">
      <c r="A18" s="3">
        <f>+60156667788</f>
        <v>60156667788</v>
      </c>
      <c r="B18" s="4" t="s">
        <v>37</v>
      </c>
      <c r="C18" s="4" t="s">
        <v>9</v>
      </c>
      <c r="D18" s="4" t="s">
        <v>44</v>
      </c>
      <c r="E18" s="4" t="s">
        <v>45</v>
      </c>
    </row>
    <row r="19">
      <c r="A19" s="3">
        <f>+60167778899</f>
        <v>60167778899</v>
      </c>
      <c r="B19" s="4" t="s">
        <v>37</v>
      </c>
      <c r="C19" s="4" t="s">
        <v>9</v>
      </c>
      <c r="D19" s="4" t="s">
        <v>46</v>
      </c>
      <c r="E19" s="4" t="s">
        <v>47</v>
      </c>
    </row>
    <row r="20">
      <c r="A20" s="3">
        <f>+60178889900</f>
        <v>60178889900</v>
      </c>
      <c r="B20" s="4" t="s">
        <v>37</v>
      </c>
      <c r="C20" s="4" t="s">
        <v>9</v>
      </c>
      <c r="D20" s="4" t="s">
        <v>48</v>
      </c>
      <c r="E20" s="4" t="s">
        <v>49</v>
      </c>
    </row>
    <row r="21">
      <c r="A21" s="3">
        <f>+60189990011</f>
        <v>60189990011</v>
      </c>
      <c r="B21" s="4" t="s">
        <v>50</v>
      </c>
      <c r="C21" s="4" t="s">
        <v>6</v>
      </c>
      <c r="D21" s="4" t="s">
        <v>51</v>
      </c>
      <c r="E21" s="4" t="s">
        <v>52</v>
      </c>
    </row>
    <row r="22">
      <c r="A22" s="3">
        <f>+60190001122</f>
        <v>60190001122</v>
      </c>
      <c r="B22" s="4" t="s">
        <v>50</v>
      </c>
      <c r="C22" s="4" t="s">
        <v>9</v>
      </c>
      <c r="D22" s="4" t="s">
        <v>53</v>
      </c>
      <c r="E22" s="4" t="s">
        <v>54</v>
      </c>
    </row>
    <row r="23">
      <c r="A23" s="3">
        <f>+60101112234</f>
        <v>60101112234</v>
      </c>
      <c r="B23" s="4" t="s">
        <v>50</v>
      </c>
      <c r="C23" s="4" t="s">
        <v>9</v>
      </c>
      <c r="D23" s="4" t="s">
        <v>55</v>
      </c>
      <c r="E23" s="4" t="s">
        <v>56</v>
      </c>
    </row>
    <row r="24">
      <c r="A24" s="3">
        <f>+60112223345</f>
        <v>60112223345</v>
      </c>
      <c r="B24" s="4" t="s">
        <v>50</v>
      </c>
      <c r="C24" s="4" t="s">
        <v>9</v>
      </c>
      <c r="D24" s="4" t="s">
        <v>57</v>
      </c>
      <c r="E24" s="4" t="s">
        <v>58</v>
      </c>
    </row>
    <row r="25">
      <c r="A25" s="3">
        <f>+60123334456</f>
        <v>60123334456</v>
      </c>
      <c r="B25" s="4" t="s">
        <v>50</v>
      </c>
      <c r="C25" s="4" t="s">
        <v>9</v>
      </c>
      <c r="D25" s="4" t="s">
        <v>59</v>
      </c>
      <c r="E25" s="4" t="s">
        <v>60</v>
      </c>
    </row>
    <row r="26">
      <c r="A26" s="3">
        <f>+60134445567</f>
        <v>60134445567</v>
      </c>
      <c r="B26" s="4" t="s">
        <v>50</v>
      </c>
      <c r="C26" s="4" t="s">
        <v>9</v>
      </c>
      <c r="D26" s="4" t="s">
        <v>61</v>
      </c>
      <c r="E26" s="4" t="s">
        <v>62</v>
      </c>
    </row>
    <row r="27">
      <c r="A27" s="3">
        <f>+60145556678</f>
        <v>60145556678</v>
      </c>
      <c r="B27" s="4" t="s">
        <v>63</v>
      </c>
      <c r="C27" s="4" t="s">
        <v>6</v>
      </c>
      <c r="D27" s="4" t="s">
        <v>64</v>
      </c>
      <c r="E27" s="4" t="s">
        <v>65</v>
      </c>
    </row>
    <row r="28">
      <c r="A28" s="3">
        <f>+60156667789</f>
        <v>60156667789</v>
      </c>
      <c r="B28" s="4" t="s">
        <v>63</v>
      </c>
      <c r="C28" s="4" t="s">
        <v>9</v>
      </c>
      <c r="D28" s="4" t="s">
        <v>66</v>
      </c>
      <c r="E28" s="4" t="s">
        <v>67</v>
      </c>
    </row>
    <row r="29">
      <c r="A29" s="3">
        <f>+60167778890</f>
        <v>60167778890</v>
      </c>
      <c r="B29" s="4" t="s">
        <v>63</v>
      </c>
      <c r="C29" s="4" t="s">
        <v>9</v>
      </c>
      <c r="D29" s="4" t="s">
        <v>68</v>
      </c>
      <c r="E29" s="4" t="s">
        <v>69</v>
      </c>
    </row>
    <row r="30">
      <c r="A30" s="3">
        <f>+60178889901</f>
        <v>60178889901</v>
      </c>
      <c r="B30" s="4" t="s">
        <v>63</v>
      </c>
      <c r="C30" s="4" t="s">
        <v>9</v>
      </c>
      <c r="D30" s="4" t="s">
        <v>70</v>
      </c>
      <c r="E30" s="4" t="s">
        <v>71</v>
      </c>
    </row>
    <row r="31">
      <c r="A31" s="3">
        <f>+60189990012</f>
        <v>60189990012</v>
      </c>
      <c r="B31" s="4" t="s">
        <v>63</v>
      </c>
      <c r="C31" s="4" t="s">
        <v>9</v>
      </c>
      <c r="D31" s="4" t="s">
        <v>72</v>
      </c>
      <c r="E31" s="4" t="s">
        <v>73</v>
      </c>
    </row>
    <row r="32">
      <c r="A32" s="3">
        <f>+60190001123</f>
        <v>60190001123</v>
      </c>
      <c r="B32" s="4" t="s">
        <v>63</v>
      </c>
      <c r="C32" s="4" t="s">
        <v>9</v>
      </c>
      <c r="D32" s="4" t="s">
        <v>74</v>
      </c>
      <c r="E32" s="4" t="s">
        <v>75</v>
      </c>
    </row>
    <row r="33">
      <c r="A33" s="3">
        <f>+60101112235</f>
        <v>60101112235</v>
      </c>
      <c r="B33" s="4" t="s">
        <v>76</v>
      </c>
      <c r="C33" s="4" t="s">
        <v>6</v>
      </c>
      <c r="D33" s="4" t="s">
        <v>77</v>
      </c>
      <c r="E33" s="4" t="s">
        <v>78</v>
      </c>
    </row>
    <row r="34">
      <c r="A34" s="3">
        <f>+60112223346</f>
        <v>60112223346</v>
      </c>
      <c r="B34" s="4" t="s">
        <v>76</v>
      </c>
      <c r="C34" s="4" t="s">
        <v>9</v>
      </c>
      <c r="D34" s="4" t="s">
        <v>79</v>
      </c>
      <c r="E34" s="4" t="s">
        <v>80</v>
      </c>
    </row>
    <row r="35">
      <c r="A35" s="3">
        <f>+60123334457</f>
        <v>60123334457</v>
      </c>
      <c r="B35" s="4" t="s">
        <v>76</v>
      </c>
      <c r="C35" s="4" t="s">
        <v>9</v>
      </c>
      <c r="D35" s="4" t="s">
        <v>81</v>
      </c>
      <c r="E35" s="4" t="s">
        <v>82</v>
      </c>
    </row>
    <row r="36">
      <c r="A36" s="3">
        <f>+60134445568</f>
        <v>60134445568</v>
      </c>
      <c r="B36" s="4" t="s">
        <v>76</v>
      </c>
      <c r="C36" s="4" t="s">
        <v>9</v>
      </c>
      <c r="D36" s="4" t="s">
        <v>83</v>
      </c>
      <c r="E36" s="4" t="s">
        <v>84</v>
      </c>
    </row>
    <row r="37">
      <c r="A37" s="3">
        <f>+60145556679</f>
        <v>60145556679</v>
      </c>
      <c r="B37" s="4" t="s">
        <v>76</v>
      </c>
      <c r="C37" s="4" t="s">
        <v>9</v>
      </c>
      <c r="D37" s="4" t="s">
        <v>85</v>
      </c>
      <c r="E37" s="4" t="s">
        <v>86</v>
      </c>
    </row>
    <row r="38">
      <c r="A38" s="3">
        <f>+60156667780</f>
        <v>60156667780</v>
      </c>
      <c r="B38" s="4" t="s">
        <v>76</v>
      </c>
      <c r="C38" s="4" t="s">
        <v>9</v>
      </c>
      <c r="D38" s="4" t="s">
        <v>87</v>
      </c>
      <c r="E38" s="4" t="s">
        <v>88</v>
      </c>
    </row>
    <row r="39">
      <c r="A39" s="3">
        <f>+60167778891</f>
        <v>60167778891</v>
      </c>
      <c r="B39" s="4" t="s">
        <v>89</v>
      </c>
      <c r="C39" s="4" t="s">
        <v>6</v>
      </c>
      <c r="D39" s="4" t="s">
        <v>90</v>
      </c>
      <c r="E39" s="4" t="s">
        <v>91</v>
      </c>
    </row>
    <row r="40">
      <c r="A40" s="3">
        <f>+60178889902</f>
        <v>60178889902</v>
      </c>
      <c r="B40" s="4" t="s">
        <v>89</v>
      </c>
      <c r="C40" s="4" t="s">
        <v>9</v>
      </c>
      <c r="D40" s="4" t="s">
        <v>92</v>
      </c>
      <c r="E40" s="4" t="s">
        <v>93</v>
      </c>
    </row>
    <row r="41">
      <c r="A41" s="3">
        <f>+60189990013</f>
        <v>60189990013</v>
      </c>
      <c r="B41" s="4" t="s">
        <v>89</v>
      </c>
      <c r="C41" s="4" t="s">
        <v>9</v>
      </c>
      <c r="D41" s="4" t="s">
        <v>94</v>
      </c>
      <c r="E41" s="4" t="s">
        <v>95</v>
      </c>
    </row>
    <row r="42">
      <c r="A42" s="3">
        <f>+60190001124</f>
        <v>60190001124</v>
      </c>
      <c r="B42" s="4" t="s">
        <v>89</v>
      </c>
      <c r="C42" s="4" t="s">
        <v>9</v>
      </c>
      <c r="D42" s="4" t="s">
        <v>96</v>
      </c>
      <c r="E42" s="4" t="s">
        <v>97</v>
      </c>
    </row>
    <row r="43">
      <c r="A43" s="3">
        <f>+60101112236</f>
        <v>60101112236</v>
      </c>
      <c r="B43" s="4" t="s">
        <v>89</v>
      </c>
      <c r="C43" s="4" t="s">
        <v>9</v>
      </c>
      <c r="D43" s="4" t="s">
        <v>98</v>
      </c>
      <c r="E43" s="4" t="s">
        <v>99</v>
      </c>
    </row>
    <row r="44">
      <c r="A44" s="3">
        <f>+60112223347</f>
        <v>60112223347</v>
      </c>
      <c r="B44" s="4" t="s">
        <v>89</v>
      </c>
      <c r="C44" s="4" t="s">
        <v>9</v>
      </c>
      <c r="D44" s="4" t="s">
        <v>100</v>
      </c>
      <c r="E44" s="4" t="s">
        <v>101</v>
      </c>
    </row>
    <row r="45">
      <c r="A45" s="5" t="s">
        <v>102</v>
      </c>
      <c r="B45" s="4" t="s">
        <v>103</v>
      </c>
      <c r="C45" s="4" t="s">
        <v>6</v>
      </c>
      <c r="D45" s="6" t="s">
        <v>104</v>
      </c>
    </row>
    <row r="46">
      <c r="A46" s="5" t="s">
        <v>105</v>
      </c>
      <c r="B46" s="7" t="s">
        <v>106</v>
      </c>
      <c r="C46" s="4" t="s">
        <v>6</v>
      </c>
      <c r="D46" s="8" t="s">
        <v>107</v>
      </c>
    </row>
    <row r="47">
      <c r="A47" s="5" t="s">
        <v>108</v>
      </c>
      <c r="B47" s="7" t="s">
        <v>109</v>
      </c>
      <c r="C47" s="4" t="s">
        <v>6</v>
      </c>
      <c r="D47" s="8" t="s">
        <v>110</v>
      </c>
    </row>
    <row r="48">
      <c r="A48" s="5" t="s">
        <v>111</v>
      </c>
      <c r="B48" s="7" t="s">
        <v>112</v>
      </c>
      <c r="C48" s="4" t="s">
        <v>6</v>
      </c>
      <c r="D48" s="9" t="s">
        <v>113</v>
      </c>
    </row>
    <row r="49">
      <c r="A49" s="5" t="s">
        <v>114</v>
      </c>
      <c r="B49" s="7" t="s">
        <v>115</v>
      </c>
      <c r="C49" s="4" t="s">
        <v>6</v>
      </c>
      <c r="D49" s="6" t="s">
        <v>116</v>
      </c>
    </row>
    <row r="50">
      <c r="A50" s="5" t="s">
        <v>117</v>
      </c>
      <c r="B50" s="7" t="s">
        <v>109</v>
      </c>
      <c r="C50" s="4" t="s">
        <v>9</v>
      </c>
      <c r="D50" s="6" t="s">
        <v>118</v>
      </c>
    </row>
    <row r="51">
      <c r="A51" s="5" t="s">
        <v>119</v>
      </c>
      <c r="B51" s="7" t="s">
        <v>109</v>
      </c>
      <c r="C51" s="4" t="s">
        <v>9</v>
      </c>
      <c r="D51" s="10" t="s">
        <v>120</v>
      </c>
    </row>
    <row r="52">
      <c r="A52" s="5" t="s">
        <v>121</v>
      </c>
      <c r="B52" s="4" t="s">
        <v>103</v>
      </c>
      <c r="C52" s="4" t="s">
        <v>9</v>
      </c>
      <c r="D52" s="11" t="s">
        <v>122</v>
      </c>
    </row>
    <row r="53">
      <c r="A53" s="5" t="s">
        <v>123</v>
      </c>
      <c r="B53" s="4" t="s">
        <v>103</v>
      </c>
      <c r="C53" s="4" t="s">
        <v>9</v>
      </c>
      <c r="D53" s="12" t="s">
        <v>124</v>
      </c>
    </row>
    <row r="54">
      <c r="A54" s="5" t="s">
        <v>125</v>
      </c>
      <c r="B54" s="4" t="s">
        <v>103</v>
      </c>
      <c r="C54" s="4" t="s">
        <v>9</v>
      </c>
      <c r="D54" s="6" t="s">
        <v>126</v>
      </c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